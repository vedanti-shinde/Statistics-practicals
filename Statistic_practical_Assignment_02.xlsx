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7c7390e441e597/Documents/"/>
    </mc:Choice>
  </mc:AlternateContent>
  <xr:revisionPtr revIDLastSave="4" documentId="8_{523939A0-0999-4C84-855F-BBCE018525B1}" xr6:coauthVersionLast="47" xr6:coauthVersionMax="47" xr10:uidLastSave="{625864AB-79F3-42AA-A220-DEB3DC0C1A72}"/>
  <bookViews>
    <workbookView xWindow="-110" yWindow="-110" windowWidth="19420" windowHeight="10300" xr2:uid="{1F892ED5-AF99-40B0-9527-6F2B7B9052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6" i="2"/>
  <c r="H13" i="2"/>
  <c r="G20" i="2"/>
  <c r="G19" i="2"/>
  <c r="G18" i="2"/>
  <c r="G17" i="2"/>
  <c r="G16" i="2"/>
  <c r="G15" i="2"/>
  <c r="G14" i="2"/>
  <c r="G13" i="2"/>
  <c r="E20" i="2"/>
  <c r="F20" i="2"/>
  <c r="E19" i="2"/>
  <c r="E18" i="2"/>
  <c r="F18" i="2" s="1"/>
  <c r="E17" i="2"/>
  <c r="F17" i="2" s="1"/>
  <c r="E16" i="2"/>
  <c r="E15" i="2"/>
  <c r="E14" i="2"/>
  <c r="E13" i="2"/>
  <c r="F19" i="2"/>
  <c r="F16" i="2"/>
  <c r="F15" i="2"/>
  <c r="F14" i="2"/>
  <c r="F13" i="2"/>
  <c r="E5" i="2"/>
  <c r="D13" i="2"/>
  <c r="C13" i="2"/>
  <c r="B19" i="2"/>
  <c r="B20" i="2"/>
  <c r="B18" i="2"/>
  <c r="B17" i="2"/>
  <c r="B16" i="2"/>
  <c r="B15" i="2"/>
  <c r="B14" i="2"/>
  <c r="B13" i="2"/>
  <c r="A15" i="1"/>
  <c r="A20" i="2"/>
  <c r="A19" i="2"/>
  <c r="A18" i="2"/>
  <c r="A17" i="2"/>
  <c r="A16" i="2"/>
  <c r="A15" i="2"/>
  <c r="A14" i="2"/>
  <c r="A13" i="2"/>
  <c r="D9" i="1"/>
  <c r="D8" i="1"/>
  <c r="D7" i="1"/>
  <c r="D6" i="1"/>
  <c r="G15" i="1"/>
  <c r="F22" i="1"/>
  <c r="F21" i="1"/>
  <c r="F20" i="1"/>
  <c r="F19" i="1"/>
  <c r="F18" i="1"/>
  <c r="F23" i="1"/>
  <c r="F24" i="1"/>
  <c r="F17" i="1"/>
  <c r="F16" i="1"/>
  <c r="F15" i="1"/>
  <c r="E15" i="1"/>
  <c r="E24" i="1"/>
  <c r="E23" i="1"/>
  <c r="E22" i="1"/>
  <c r="E20" i="1"/>
  <c r="E19" i="1"/>
  <c r="E21" i="1"/>
  <c r="E18" i="1"/>
  <c r="E17" i="1"/>
  <c r="D17" i="1"/>
  <c r="E16" i="1"/>
  <c r="D16" i="1"/>
  <c r="D15" i="1"/>
  <c r="D24" i="1"/>
  <c r="D23" i="1"/>
  <c r="D22" i="1"/>
  <c r="D21" i="1"/>
  <c r="D20" i="1"/>
  <c r="D19" i="1"/>
  <c r="D18" i="1"/>
  <c r="D5" i="1"/>
  <c r="B15" i="1"/>
  <c r="C15" i="1"/>
  <c r="A24" i="1"/>
  <c r="A23" i="1"/>
  <c r="A22" i="1"/>
  <c r="A20" i="1"/>
  <c r="A21" i="1"/>
  <c r="A19" i="1"/>
  <c r="A18" i="1"/>
  <c r="A17" i="1"/>
  <c r="A16" i="1"/>
</calcChain>
</file>

<file path=xl/sharedStrings.xml><?xml version="1.0" encoding="utf-8"?>
<sst xmlns="http://schemas.openxmlformats.org/spreadsheetml/2006/main" count="39" uniqueCount="34">
  <si>
    <t>Group (x)</t>
  </si>
  <si>
    <t>Frequency (f)</t>
  </si>
  <si>
    <t>Measure without inbuilt function</t>
  </si>
  <si>
    <t>MEAN</t>
  </si>
  <si>
    <t>P.VAR</t>
  </si>
  <si>
    <t>S.VAR</t>
  </si>
  <si>
    <t>P.STDEV</t>
  </si>
  <si>
    <t>S.STDEV</t>
  </si>
  <si>
    <t>fx</t>
  </si>
  <si>
    <t>sum of f</t>
  </si>
  <si>
    <t>SUM of fx</t>
  </si>
  <si>
    <t>x-mean</t>
  </si>
  <si>
    <t>(x-mean)^2</t>
  </si>
  <si>
    <t>f(x-mean)^2</t>
  </si>
  <si>
    <t>sum of f(x=mean)^2</t>
  </si>
  <si>
    <t>Class limits</t>
  </si>
  <si>
    <t>13–19</t>
  </si>
  <si>
    <t>20–26</t>
  </si>
  <si>
    <t>27–33</t>
  </si>
  <si>
    <t>34–40</t>
  </si>
  <si>
    <t>41–47</t>
  </si>
  <si>
    <t>48–54</t>
  </si>
  <si>
    <t>55–61</t>
  </si>
  <si>
    <t>62–68</t>
  </si>
  <si>
    <t xml:space="preserve">Q4 Find the variance and standard deviation. The costs per load (in cents) of 35 laundry 
detergents tested by a consumer organization are shown here. </t>
  </si>
  <si>
    <t>Midpoint(x)</t>
  </si>
  <si>
    <t>sum of fx</t>
  </si>
  <si>
    <t>(x-mean)</t>
  </si>
  <si>
    <t>sum of f(x-mean)^2</t>
  </si>
  <si>
    <t>Measures with using inbuild function</t>
  </si>
  <si>
    <t>Variance</t>
  </si>
  <si>
    <t>STD.DEV</t>
  </si>
  <si>
    <t>Mean</t>
  </si>
  <si>
    <t xml:space="preserve">Q3  Create a hypothetical data set of 10 groups with their relative frequencies. Present the 
formulas for population variance, sample variance, population std.dev. and sample std.dev.  
Without using built-in formula in excel compute each of the estimates.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</si>
</sst>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0" fontId="0" fillId="0" borderId="0" xfId="1" applyNumberFormat="1" applyFont="1"/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EB13-CD42-44C8-8A17-1C5FA2C82598}">
  <dimension ref="A1:H24"/>
  <sheetViews>
    <sheetView tabSelected="1" workbookViewId="0">
      <selection activeCell="J7" sqref="J7"/>
    </sheetView>
  </sheetViews>
  <sheetFormatPr defaultRowHeight="14.5" x14ac:dyDescent="0.35"/>
  <sheetData>
    <row r="1" spans="1:8" x14ac:dyDescent="0.35">
      <c r="A1" s="5" t="s">
        <v>33</v>
      </c>
    </row>
    <row r="2" spans="1:8" ht="29" x14ac:dyDescent="0.35">
      <c r="A2" s="1" t="s">
        <v>0</v>
      </c>
      <c r="B2" s="1" t="s">
        <v>1</v>
      </c>
    </row>
    <row r="3" spans="1:8" x14ac:dyDescent="0.35">
      <c r="A3" s="2">
        <v>10</v>
      </c>
      <c r="B3" s="2">
        <v>2</v>
      </c>
    </row>
    <row r="4" spans="1:8" x14ac:dyDescent="0.35">
      <c r="A4" s="2">
        <v>20</v>
      </c>
      <c r="B4" s="2">
        <v>3</v>
      </c>
      <c r="C4" t="s">
        <v>2</v>
      </c>
      <c r="F4" s="5"/>
      <c r="H4" s="3"/>
    </row>
    <row r="5" spans="1:8" x14ac:dyDescent="0.35">
      <c r="A5" s="2">
        <v>30</v>
      </c>
      <c r="B5" s="2">
        <v>5</v>
      </c>
      <c r="C5" t="s">
        <v>3</v>
      </c>
      <c r="D5">
        <f>B15/C15</f>
        <v>51.428571428571431</v>
      </c>
    </row>
    <row r="6" spans="1:8" x14ac:dyDescent="0.35">
      <c r="A6" s="2">
        <v>40</v>
      </c>
      <c r="B6" s="2">
        <v>4</v>
      </c>
      <c r="C6" t="s">
        <v>4</v>
      </c>
      <c r="D6">
        <f>G15/C15</f>
        <v>561.63265306122446</v>
      </c>
    </row>
    <row r="7" spans="1:8" x14ac:dyDescent="0.35">
      <c r="A7" s="2">
        <v>50</v>
      </c>
      <c r="B7" s="2">
        <v>6</v>
      </c>
      <c r="C7" t="s">
        <v>5</v>
      </c>
      <c r="D7">
        <f>G15/(C15-1)</f>
        <v>578.15126050420167</v>
      </c>
    </row>
    <row r="8" spans="1:8" x14ac:dyDescent="0.35">
      <c r="A8" s="2">
        <v>60</v>
      </c>
      <c r="B8" s="2">
        <v>5</v>
      </c>
      <c r="C8" t="s">
        <v>6</v>
      </c>
      <c r="D8">
        <f>SQRT(D6)</f>
        <v>23.698790118088823</v>
      </c>
    </row>
    <row r="9" spans="1:8" x14ac:dyDescent="0.35">
      <c r="A9" s="2">
        <v>70</v>
      </c>
      <c r="B9" s="2">
        <v>3</v>
      </c>
      <c r="C9" t="s">
        <v>7</v>
      </c>
      <c r="D9">
        <f>SQRT(D7)</f>
        <v>24.044776158330144</v>
      </c>
    </row>
    <row r="10" spans="1:8" x14ac:dyDescent="0.35">
      <c r="A10" s="2">
        <v>80</v>
      </c>
      <c r="B10" s="2">
        <v>4</v>
      </c>
    </row>
    <row r="11" spans="1:8" x14ac:dyDescent="0.35">
      <c r="A11" s="2">
        <v>90</v>
      </c>
      <c r="B11" s="2">
        <v>2</v>
      </c>
    </row>
    <row r="12" spans="1:8" x14ac:dyDescent="0.35">
      <c r="A12" s="2">
        <v>100</v>
      </c>
      <c r="B12" s="2">
        <v>1</v>
      </c>
    </row>
    <row r="14" spans="1:8" x14ac:dyDescent="0.35">
      <c r="A14" t="s">
        <v>8</v>
      </c>
      <c r="B14" t="s">
        <v>10</v>
      </c>
      <c r="C14" t="s">
        <v>9</v>
      </c>
      <c r="D14" t="s">
        <v>11</v>
      </c>
      <c r="E14" s="4" t="s">
        <v>12</v>
      </c>
      <c r="F14" s="4" t="s">
        <v>13</v>
      </c>
      <c r="G14" s="4" t="s">
        <v>14</v>
      </c>
    </row>
    <row r="15" spans="1:8" x14ac:dyDescent="0.35">
      <c r="A15">
        <f>A3*B3</f>
        <v>20</v>
      </c>
      <c r="B15">
        <f>A15+A16+A17+A18+A19+A20+A21+A22+A23+A24</f>
        <v>1800</v>
      </c>
      <c r="C15">
        <f>B3+B4+B5+B6+B7+B8+B9+B10+B11+B12</f>
        <v>35</v>
      </c>
      <c r="D15">
        <f>A3-D5</f>
        <v>-41.428571428571431</v>
      </c>
      <c r="E15">
        <f>(A3-D5)*(A3-D5)</f>
        <v>1716.3265306122451</v>
      </c>
      <c r="F15">
        <f>B3*((A3-D5)*(A3-D5))</f>
        <v>3432.6530612244901</v>
      </c>
      <c r="G15">
        <f>F15+F16+F17+F18+F19+F20+F21+F22+F23+F24</f>
        <v>19657.142857142855</v>
      </c>
    </row>
    <row r="16" spans="1:8" x14ac:dyDescent="0.35">
      <c r="A16">
        <f>A4*B4</f>
        <v>60</v>
      </c>
      <c r="D16">
        <f>A4-D5</f>
        <v>-31.428571428571431</v>
      </c>
      <c r="E16">
        <f>(A4-D5)*(A4-D5)</f>
        <v>987.7551020408165</v>
      </c>
      <c r="F16">
        <f>B4*((A4-D5)*(A4-D5))</f>
        <v>2963.2653061224496</v>
      </c>
    </row>
    <row r="17" spans="1:6" x14ac:dyDescent="0.35">
      <c r="A17">
        <f>A5*B5</f>
        <v>150</v>
      </c>
      <c r="D17">
        <f>A5-D5</f>
        <v>-21.428571428571431</v>
      </c>
      <c r="E17">
        <f>(A5-D5)*(A5-D5)</f>
        <v>459.18367346938783</v>
      </c>
      <c r="F17">
        <f>B5*((A5-D5)*(A5-D5))</f>
        <v>2295.9183673469392</v>
      </c>
    </row>
    <row r="18" spans="1:6" x14ac:dyDescent="0.35">
      <c r="A18">
        <f>A6*B6</f>
        <v>160</v>
      </c>
      <c r="D18">
        <f>A6-D5</f>
        <v>-11.428571428571431</v>
      </c>
      <c r="E18">
        <f>(A6-D5)*(A6-D5)</f>
        <v>130.61224489795924</v>
      </c>
      <c r="F18">
        <f>B6*((A6-D5)*(A6-D5))</f>
        <v>522.44897959183697</v>
      </c>
    </row>
    <row r="19" spans="1:6" x14ac:dyDescent="0.35">
      <c r="A19">
        <f>A7*B7</f>
        <v>300</v>
      </c>
      <c r="D19">
        <f>A7-D5</f>
        <v>-1.4285714285714306</v>
      </c>
      <c r="E19">
        <f>(A7-D5)*(A7-D5)</f>
        <v>2.0408163265306181</v>
      </c>
      <c r="F19">
        <f>B7*((A7-D5)*(A7-D5))</f>
        <v>12.244897959183708</v>
      </c>
    </row>
    <row r="20" spans="1:6" x14ac:dyDescent="0.35">
      <c r="A20">
        <f>A8*B8</f>
        <v>300</v>
      </c>
      <c r="D20">
        <f>A8-D5</f>
        <v>8.5714285714285694</v>
      </c>
      <c r="E20">
        <f>(A8-D5)*(A8-D5)</f>
        <v>73.469387755102005</v>
      </c>
      <c r="F20">
        <f>B8*((A8-D5)*(A9-D5))</f>
        <v>795.91836734693857</v>
      </c>
    </row>
    <row r="21" spans="1:6" x14ac:dyDescent="0.35">
      <c r="A21">
        <f>A9*B9</f>
        <v>210</v>
      </c>
      <c r="D21">
        <f>A9-D5</f>
        <v>18.571428571428569</v>
      </c>
      <c r="E21">
        <f>(A9-D5)*(A9-D5)</f>
        <v>344.89795918367338</v>
      </c>
      <c r="F21">
        <f>B9*((A9-D5)*(A9-D5))</f>
        <v>1034.6938775510203</v>
      </c>
    </row>
    <row r="22" spans="1:6" x14ac:dyDescent="0.35">
      <c r="A22">
        <f>A10*B10</f>
        <v>320</v>
      </c>
      <c r="D22">
        <f>A10-D5</f>
        <v>28.571428571428569</v>
      </c>
      <c r="E22">
        <f>(A10-D5)*(A10-D5)</f>
        <v>816.32653061224482</v>
      </c>
      <c r="F22">
        <f>B10*((A10-D5)*(A10-D5))</f>
        <v>3265.3061224489793</v>
      </c>
    </row>
    <row r="23" spans="1:6" x14ac:dyDescent="0.35">
      <c r="A23">
        <f>A11*B11</f>
        <v>180</v>
      </c>
      <c r="D23">
        <f>A11-D5</f>
        <v>38.571428571428569</v>
      </c>
      <c r="E23">
        <f>(A11-D5)*(A11-D5)</f>
        <v>1487.7551020408162</v>
      </c>
      <c r="F23">
        <f>B11*((A11-D5)*(A11-D5))</f>
        <v>2975.5102040816323</v>
      </c>
    </row>
    <row r="24" spans="1:6" x14ac:dyDescent="0.35">
      <c r="A24">
        <f>A12*B12</f>
        <v>100</v>
      </c>
      <c r="D24">
        <f>A12-D5</f>
        <v>48.571428571428569</v>
      </c>
      <c r="E24">
        <f>(A12-D5)*(A12-D5)</f>
        <v>2359.1836734693875</v>
      </c>
      <c r="F24">
        <f>B12*((A12-D5)*(A12-D5))</f>
        <v>2359.1836734693875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5085-D06A-424B-B84F-C23781D05ADA}">
  <dimension ref="A1:H20"/>
  <sheetViews>
    <sheetView workbookViewId="0">
      <selection activeCell="E8" sqref="E8"/>
    </sheetView>
  </sheetViews>
  <sheetFormatPr defaultRowHeight="14.5" x14ac:dyDescent="0.35"/>
  <sheetData>
    <row r="1" spans="1:8" x14ac:dyDescent="0.35">
      <c r="A1" s="5" t="s">
        <v>24</v>
      </c>
    </row>
    <row r="2" spans="1:8" ht="29" x14ac:dyDescent="0.35">
      <c r="A2" s="1" t="s">
        <v>15</v>
      </c>
      <c r="B2" s="1" t="s">
        <v>1</v>
      </c>
    </row>
    <row r="3" spans="1:8" x14ac:dyDescent="0.35">
      <c r="A3" s="2" t="s">
        <v>16</v>
      </c>
      <c r="B3" s="2">
        <v>2</v>
      </c>
    </row>
    <row r="4" spans="1:8" x14ac:dyDescent="0.35">
      <c r="A4" s="2" t="s">
        <v>17</v>
      </c>
      <c r="B4" s="2">
        <v>7</v>
      </c>
      <c r="D4" t="s">
        <v>29</v>
      </c>
    </row>
    <row r="5" spans="1:8" x14ac:dyDescent="0.35">
      <c r="A5" s="2" t="s">
        <v>18</v>
      </c>
      <c r="B5" s="2">
        <v>12</v>
      </c>
      <c r="D5" t="s">
        <v>32</v>
      </c>
      <c r="E5">
        <f>C13/D13</f>
        <v>33.799999999999997</v>
      </c>
    </row>
    <row r="6" spans="1:8" x14ac:dyDescent="0.35">
      <c r="A6" s="2" t="s">
        <v>19</v>
      </c>
      <c r="B6" s="2">
        <v>5</v>
      </c>
      <c r="D6" t="s">
        <v>30</v>
      </c>
      <c r="E6">
        <f>H13/D13</f>
        <v>129.76000000000002</v>
      </c>
    </row>
    <row r="7" spans="1:8" x14ac:dyDescent="0.35">
      <c r="A7" s="2" t="s">
        <v>20</v>
      </c>
      <c r="B7" s="2">
        <v>6</v>
      </c>
      <c r="D7" t="s">
        <v>31</v>
      </c>
      <c r="E7">
        <f>SQRT(E6)</f>
        <v>11.391224692718515</v>
      </c>
    </row>
    <row r="8" spans="1:8" x14ac:dyDescent="0.35">
      <c r="A8" s="2" t="s">
        <v>21</v>
      </c>
      <c r="B8" s="2">
        <v>1</v>
      </c>
    </row>
    <row r="9" spans="1:8" x14ac:dyDescent="0.35">
      <c r="A9" s="2" t="s">
        <v>22</v>
      </c>
      <c r="B9" s="2">
        <v>0</v>
      </c>
    </row>
    <row r="10" spans="1:8" x14ac:dyDescent="0.35">
      <c r="A10" s="2" t="s">
        <v>23</v>
      </c>
      <c r="B10" s="2">
        <v>2</v>
      </c>
    </row>
    <row r="12" spans="1:8" ht="29" x14ac:dyDescent="0.35">
      <c r="A12" s="2" t="s">
        <v>25</v>
      </c>
      <c r="B12" t="s">
        <v>8</v>
      </c>
      <c r="C12" t="s">
        <v>26</v>
      </c>
      <c r="D12" t="s">
        <v>9</v>
      </c>
      <c r="E12" t="s">
        <v>27</v>
      </c>
      <c r="F12" t="s">
        <v>12</v>
      </c>
      <c r="G12" t="s">
        <v>13</v>
      </c>
      <c r="H12" t="s">
        <v>28</v>
      </c>
    </row>
    <row r="13" spans="1:8" x14ac:dyDescent="0.35">
      <c r="A13">
        <f>(13+19)/2</f>
        <v>16</v>
      </c>
      <c r="B13">
        <f>A13*B3</f>
        <v>32</v>
      </c>
      <c r="C13">
        <f>B13+B14+B15+B16+B17+B18+B19+B20</f>
        <v>1183</v>
      </c>
      <c r="D13">
        <f>B3+B4+B5+B6+B7+B8+B9+B10</f>
        <v>35</v>
      </c>
      <c r="E13">
        <f>A13-E5</f>
        <v>-17.799999999999997</v>
      </c>
      <c r="F13">
        <f>E13*E13</f>
        <v>316.83999999999992</v>
      </c>
      <c r="G13">
        <f>B3*F13</f>
        <v>633.67999999999984</v>
      </c>
      <c r="H13">
        <f>G13+G14+G15+G16+G17+G18+G19+G20</f>
        <v>4541.6000000000004</v>
      </c>
    </row>
    <row r="14" spans="1:8" x14ac:dyDescent="0.35">
      <c r="A14">
        <f>(20+26)/2</f>
        <v>23</v>
      </c>
      <c r="B14">
        <f>A14*B4</f>
        <v>161</v>
      </c>
      <c r="E14">
        <f>A14-E5</f>
        <v>-10.799999999999997</v>
      </c>
      <c r="F14">
        <f>E14*E14</f>
        <v>116.63999999999994</v>
      </c>
      <c r="G14">
        <f>B4*F14</f>
        <v>816.47999999999956</v>
      </c>
    </row>
    <row r="15" spans="1:8" x14ac:dyDescent="0.35">
      <c r="A15">
        <f>(27+33)/2</f>
        <v>30</v>
      </c>
      <c r="B15">
        <f>A15*B5</f>
        <v>360</v>
      </c>
      <c r="E15">
        <f>A15-E5</f>
        <v>-3.7999999999999972</v>
      </c>
      <c r="F15">
        <f>E15*E15</f>
        <v>14.439999999999978</v>
      </c>
      <c r="G15">
        <f>B5*F15</f>
        <v>173.27999999999975</v>
      </c>
    </row>
    <row r="16" spans="1:8" x14ac:dyDescent="0.35">
      <c r="A16">
        <f>(34+40)/2</f>
        <v>37</v>
      </c>
      <c r="B16">
        <f>A16*B6</f>
        <v>185</v>
      </c>
      <c r="E16">
        <f>A16-E5</f>
        <v>3.2000000000000028</v>
      </c>
      <c r="F16">
        <f>E16*E16</f>
        <v>10.240000000000018</v>
      </c>
      <c r="G16">
        <f>B6*F16</f>
        <v>51.200000000000088</v>
      </c>
    </row>
    <row r="17" spans="1:7" x14ac:dyDescent="0.35">
      <c r="A17">
        <f>(41+47)/2</f>
        <v>44</v>
      </c>
      <c r="B17">
        <f>A17*B7</f>
        <v>264</v>
      </c>
      <c r="E17">
        <f>A17-E5</f>
        <v>10.200000000000003</v>
      </c>
      <c r="F17">
        <f>E17*E17</f>
        <v>104.04000000000006</v>
      </c>
      <c r="G17">
        <f>B7*F17</f>
        <v>624.24000000000035</v>
      </c>
    </row>
    <row r="18" spans="1:7" x14ac:dyDescent="0.35">
      <c r="A18">
        <f>(48+54)/2</f>
        <v>51</v>
      </c>
      <c r="B18">
        <f>A18*B8</f>
        <v>51</v>
      </c>
      <c r="E18">
        <f>A18-E5</f>
        <v>17.200000000000003</v>
      </c>
      <c r="F18">
        <f>E18*E18</f>
        <v>295.84000000000009</v>
      </c>
      <c r="G18">
        <f>B8*F18</f>
        <v>295.84000000000009</v>
      </c>
    </row>
    <row r="19" spans="1:7" x14ac:dyDescent="0.35">
      <c r="A19">
        <f>(55+61)/2</f>
        <v>58</v>
      </c>
      <c r="B19">
        <f>A19*B9</f>
        <v>0</v>
      </c>
      <c r="E19">
        <f>A19-E5</f>
        <v>24.200000000000003</v>
      </c>
      <c r="F19">
        <f>E19*E19</f>
        <v>585.6400000000001</v>
      </c>
      <c r="G19">
        <f>B9*F19</f>
        <v>0</v>
      </c>
    </row>
    <row r="20" spans="1:7" x14ac:dyDescent="0.35">
      <c r="A20">
        <f>(62+68)/2</f>
        <v>65</v>
      </c>
      <c r="B20">
        <f>A20*B10</f>
        <v>130</v>
      </c>
      <c r="E20">
        <f>A20-E5</f>
        <v>31.200000000000003</v>
      </c>
      <c r="F20">
        <f>E20*E20</f>
        <v>973.44000000000017</v>
      </c>
      <c r="G20">
        <f>B10*F20</f>
        <v>1946.8800000000003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shinde</dc:creator>
  <cp:lastModifiedBy>vedanti shinde</cp:lastModifiedBy>
  <dcterms:created xsi:type="dcterms:W3CDTF">2026-01-21T14:55:07Z</dcterms:created>
  <dcterms:modified xsi:type="dcterms:W3CDTF">2026-01-21T16:31:25Z</dcterms:modified>
</cp:coreProperties>
</file>