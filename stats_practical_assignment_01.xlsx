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C7390E441E597/Documents/"/>
    </mc:Choice>
  </mc:AlternateContent>
  <xr:revisionPtr revIDLastSave="0" documentId="8_{01AE0953-C2C2-49B8-8053-D36E284F2659}" xr6:coauthVersionLast="47" xr6:coauthVersionMax="47" xr10:uidLastSave="{00000000-0000-0000-0000-000000000000}"/>
  <bookViews>
    <workbookView xWindow="-110" yWindow="-110" windowWidth="19420" windowHeight="10300" xr2:uid="{72F15E43-3177-4FBF-8BD7-44301291A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22" i="1"/>
  <c r="B19" i="1"/>
  <c r="B20" i="1"/>
  <c r="B21" i="1"/>
  <c r="B18" i="1"/>
</calcChain>
</file>

<file path=xl/sharedStrings.xml><?xml version="1.0" encoding="utf-8"?>
<sst xmlns="http://schemas.openxmlformats.org/spreadsheetml/2006/main" count="13" uniqueCount="13">
  <si>
    <t>Observation No.</t>
  </si>
  <si>
    <t>Value</t>
  </si>
  <si>
    <t>Measures</t>
  </si>
  <si>
    <t>Results</t>
  </si>
  <si>
    <t>Mean</t>
  </si>
  <si>
    <t>Medain</t>
  </si>
  <si>
    <t>Mode</t>
  </si>
  <si>
    <t>Min</t>
  </si>
  <si>
    <t>Max</t>
  </si>
  <si>
    <t>Range</t>
  </si>
  <si>
    <t>Mid-range</t>
  </si>
  <si>
    <t>P.STD deviation</t>
  </si>
  <si>
    <t>P.variance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</si>
</sst>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5FA8-2CDD-4300-80AF-EF3CFBC4FEE7}">
  <dimension ref="A1:B26"/>
  <sheetViews>
    <sheetView tabSelected="1" topLeftCell="A10" workbookViewId="0">
      <selection activeCell="B27" sqref="B27"/>
    </sheetView>
  </sheetViews>
  <sheetFormatPr defaultRowHeight="14.5" x14ac:dyDescent="0.35"/>
  <sheetData>
    <row r="1" spans="1:2" ht="29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12</v>
      </c>
    </row>
    <row r="3" spans="1:2" x14ac:dyDescent="0.35">
      <c r="A3" s="2">
        <v>2</v>
      </c>
      <c r="B3" s="2">
        <v>15</v>
      </c>
    </row>
    <row r="4" spans="1:2" x14ac:dyDescent="0.35">
      <c r="A4" s="2">
        <v>3</v>
      </c>
      <c r="B4" s="2">
        <v>18</v>
      </c>
    </row>
    <row r="5" spans="1:2" x14ac:dyDescent="0.35">
      <c r="A5" s="2">
        <v>4</v>
      </c>
      <c r="B5" s="2">
        <v>20</v>
      </c>
    </row>
    <row r="6" spans="1:2" x14ac:dyDescent="0.35">
      <c r="A6" s="2">
        <v>5</v>
      </c>
      <c r="B6" s="2">
        <v>22</v>
      </c>
    </row>
    <row r="7" spans="1:2" x14ac:dyDescent="0.35">
      <c r="A7" s="2">
        <v>6</v>
      </c>
      <c r="B7" s="2">
        <v>25</v>
      </c>
    </row>
    <row r="8" spans="1:2" x14ac:dyDescent="0.35">
      <c r="A8" s="2">
        <v>7</v>
      </c>
      <c r="B8" s="2">
        <v>25</v>
      </c>
    </row>
    <row r="9" spans="1:2" x14ac:dyDescent="0.35">
      <c r="A9" s="2">
        <v>8</v>
      </c>
      <c r="B9" s="2">
        <v>27</v>
      </c>
    </row>
    <row r="10" spans="1:2" x14ac:dyDescent="0.35">
      <c r="A10" s="2">
        <v>9</v>
      </c>
      <c r="B10" s="2">
        <v>30</v>
      </c>
    </row>
    <row r="11" spans="1:2" x14ac:dyDescent="0.35">
      <c r="A11" s="2">
        <v>10</v>
      </c>
      <c r="B11" s="2">
        <v>32</v>
      </c>
    </row>
    <row r="12" spans="1:2" x14ac:dyDescent="0.35">
      <c r="A12" s="2">
        <v>11</v>
      </c>
      <c r="B12" s="2">
        <v>35</v>
      </c>
    </row>
    <row r="13" spans="1:2" x14ac:dyDescent="0.35">
      <c r="A13" s="2">
        <v>12</v>
      </c>
      <c r="B13" s="2">
        <v>38</v>
      </c>
    </row>
    <row r="14" spans="1:2" x14ac:dyDescent="0.35">
      <c r="A14" s="2">
        <v>13</v>
      </c>
      <c r="B14" s="2">
        <v>40</v>
      </c>
    </row>
    <row r="15" spans="1:2" x14ac:dyDescent="0.35">
      <c r="A15" s="2">
        <v>14</v>
      </c>
      <c r="B15" s="2">
        <v>42</v>
      </c>
    </row>
    <row r="16" spans="1:2" x14ac:dyDescent="0.35">
      <c r="A16" s="2">
        <v>15</v>
      </c>
      <c r="B16" s="2">
        <v>45</v>
      </c>
    </row>
    <row r="17" spans="1:2" x14ac:dyDescent="0.35">
      <c r="A17" s="3" t="s">
        <v>2</v>
      </c>
      <c r="B17" t="s">
        <v>3</v>
      </c>
    </row>
    <row r="18" spans="1:2" x14ac:dyDescent="0.35">
      <c r="A18" t="s">
        <v>4</v>
      </c>
      <c r="B18">
        <f>+AVERAGE(B2:B16)</f>
        <v>28.4</v>
      </c>
    </row>
    <row r="19" spans="1:2" x14ac:dyDescent="0.35">
      <c r="A19" t="s">
        <v>5</v>
      </c>
      <c r="B19">
        <f>MEDIAN(B2:B16)</f>
        <v>27</v>
      </c>
    </row>
    <row r="20" spans="1:2" x14ac:dyDescent="0.35">
      <c r="A20" t="s">
        <v>6</v>
      </c>
      <c r="B20">
        <f>_xlfn.MODE.SNGL(B2:B16)</f>
        <v>25</v>
      </c>
    </row>
    <row r="21" spans="1:2" x14ac:dyDescent="0.35">
      <c r="A21" t="s">
        <v>7</v>
      </c>
      <c r="B21">
        <f>MIN(B2:B16)</f>
        <v>12</v>
      </c>
    </row>
    <row r="22" spans="1:2" x14ac:dyDescent="0.35">
      <c r="A22" t="s">
        <v>8</v>
      </c>
      <c r="B22">
        <f>MAX(B2:B16)</f>
        <v>45</v>
      </c>
    </row>
    <row r="23" spans="1:2" x14ac:dyDescent="0.35">
      <c r="A23" t="s">
        <v>9</v>
      </c>
      <c r="B23">
        <f>MAX(B2:B16)-MIN(B2:B16)</f>
        <v>33</v>
      </c>
    </row>
    <row r="24" spans="1:2" x14ac:dyDescent="0.35">
      <c r="A24" t="s">
        <v>10</v>
      </c>
      <c r="B24">
        <f>(MAX(B2:B16)+MIN(B2:B16))/2</f>
        <v>28.5</v>
      </c>
    </row>
    <row r="25" spans="1:2" x14ac:dyDescent="0.35">
      <c r="A25" t="s">
        <v>12</v>
      </c>
      <c r="B25">
        <f>_xlfn.VAR.P(B2:B16)</f>
        <v>95.973333333333329</v>
      </c>
    </row>
    <row r="26" spans="1:2" x14ac:dyDescent="0.35">
      <c r="A26" t="s">
        <v>11</v>
      </c>
      <c r="B26">
        <f>_xlfn.STDEV.P(B2:B16)</f>
        <v>9.7965980489827853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shinde</dc:creator>
  <cp:lastModifiedBy>vedanti shinde</cp:lastModifiedBy>
  <dcterms:created xsi:type="dcterms:W3CDTF">2026-01-16T10:34:10Z</dcterms:created>
  <dcterms:modified xsi:type="dcterms:W3CDTF">2026-01-16T10:56:11Z</dcterms:modified>
</cp:coreProperties>
</file>