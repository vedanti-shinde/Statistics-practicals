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8F7C7390E441E597/Documents/"/>
    </mc:Choice>
  </mc:AlternateContent>
  <xr:revisionPtr revIDLastSave="94" documentId="8_{01AE0953-C2C2-49B8-8053-D36E284F2659}" xr6:coauthVersionLast="47" xr6:coauthVersionMax="47" xr10:uidLastSave="{B5FE39AD-7BAB-4BF4-8756-31659B01F231}"/>
  <bookViews>
    <workbookView xWindow="-110" yWindow="-110" windowWidth="19420" windowHeight="10300" xr2:uid="{72F15E43-3177-4FBF-8BD7-44301291AE2C}"/>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1" l="1"/>
  <c r="C14" i="1"/>
  <c r="C13" i="1"/>
  <c r="C12" i="1"/>
  <c r="J12" i="1"/>
  <c r="C11" i="1"/>
  <c r="J11" i="1"/>
  <c r="C10" i="1"/>
  <c r="C9" i="1"/>
  <c r="C8" i="1"/>
  <c r="C7" i="1"/>
  <c r="C6" i="1"/>
  <c r="K14" i="1"/>
  <c r="K13" i="1"/>
  <c r="K12" i="1"/>
  <c r="K11" i="1"/>
  <c r="K10" i="1"/>
  <c r="K9" i="1"/>
  <c r="K8" i="1"/>
  <c r="K7" i="1"/>
  <c r="K6" i="1"/>
  <c r="G3" i="1"/>
  <c r="J7" i="1"/>
  <c r="J13" i="1"/>
  <c r="J14" i="1"/>
  <c r="J10" i="1"/>
  <c r="J9" i="1"/>
  <c r="J6" i="1"/>
</calcChain>
</file>

<file path=xl/sharedStrings.xml><?xml version="1.0" encoding="utf-8"?>
<sst xmlns="http://schemas.openxmlformats.org/spreadsheetml/2006/main" count="26" uniqueCount="16">
  <si>
    <t>Measures</t>
  </si>
  <si>
    <t>Mean</t>
  </si>
  <si>
    <t>Medain</t>
  </si>
  <si>
    <t>Mode</t>
  </si>
  <si>
    <t>Min</t>
  </si>
  <si>
    <t>Max</t>
  </si>
  <si>
    <t>Range</t>
  </si>
  <si>
    <t>Mid-range</t>
  </si>
  <si>
    <t>P.STD deviation</t>
  </si>
  <si>
    <t>P.variance</t>
  </si>
  <si>
    <t>A (2004)</t>
  </si>
  <si>
    <t>B (1990)</t>
  </si>
  <si>
    <t>Q4) Populations for towns and cities of 5000 or more (based on the 2004 figures) in the 42XXXX zip code area are listed here for two different years. Find the mean, median, mode, and midrange for each set of data. What do your findings suggest?</t>
  </si>
  <si>
    <t>Result</t>
  </si>
  <si>
    <t>A (Observations)</t>
  </si>
  <si>
    <t>Q3) Create a hypothetical data set of 15 observations and compute the estimations on 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</si>
</sst>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wrapText="1"/>
    </xf>
    <xf numFmtId="0" fontId="0" fillId="0" borderId="0" xfId="0"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65FA8-2CDD-4300-80AF-EF3CFBC4FEE7}">
  <dimension ref="A1:K26"/>
  <sheetViews>
    <sheetView tabSelected="1" workbookViewId="0">
      <selection activeCell="G3" sqref="G3"/>
    </sheetView>
  </sheetViews>
  <sheetFormatPr defaultRowHeight="14.5" x14ac:dyDescent="0.35"/>
  <cols>
    <col min="11" max="11" width="10.81640625" bestFit="1" customWidth="1"/>
  </cols>
  <sheetData>
    <row r="1" spans="1:11" x14ac:dyDescent="0.35">
      <c r="A1" t="s">
        <v>15</v>
      </c>
      <c r="B1" s="1"/>
      <c r="F1" s="4" t="s">
        <v>12</v>
      </c>
    </row>
    <row r="2" spans="1:11" ht="43.5" x14ac:dyDescent="0.35">
      <c r="A2" s="1" t="s">
        <v>14</v>
      </c>
      <c r="B2" s="1"/>
      <c r="F2" s="1" t="s">
        <v>10</v>
      </c>
      <c r="G2" s="1" t="s">
        <v>11</v>
      </c>
    </row>
    <row r="3" spans="1:11" x14ac:dyDescent="0.35">
      <c r="A3" s="2">
        <v>12</v>
      </c>
      <c r="B3" s="1"/>
      <c r="F3" s="2">
        <v>11270</v>
      </c>
      <c r="G3" s="2">
        <f>AVERAGE(F3)</f>
        <v>11270</v>
      </c>
    </row>
    <row r="4" spans="1:11" x14ac:dyDescent="0.35">
      <c r="A4" s="2">
        <v>15</v>
      </c>
      <c r="B4" s="1"/>
      <c r="F4" s="2">
        <v>8825</v>
      </c>
      <c r="G4" s="2">
        <v>9200</v>
      </c>
    </row>
    <row r="5" spans="1:11" x14ac:dyDescent="0.35">
      <c r="A5" s="2">
        <v>18</v>
      </c>
      <c r="B5" s="3" t="s">
        <v>0</v>
      </c>
      <c r="C5" t="s">
        <v>13</v>
      </c>
      <c r="F5" s="2">
        <v>7439</v>
      </c>
      <c r="G5" s="2">
        <v>8133</v>
      </c>
      <c r="I5" s="3" t="s">
        <v>0</v>
      </c>
      <c r="J5">
        <v>2004</v>
      </c>
      <c r="K5">
        <v>1990</v>
      </c>
    </row>
    <row r="6" spans="1:11" x14ac:dyDescent="0.35">
      <c r="A6" s="2">
        <v>20</v>
      </c>
      <c r="B6" t="s">
        <v>1</v>
      </c>
      <c r="C6">
        <f>AVERAGE(A3:A17)</f>
        <v>28</v>
      </c>
      <c r="F6" s="2">
        <v>8220</v>
      </c>
      <c r="G6" s="2">
        <v>9278</v>
      </c>
      <c r="I6" t="s">
        <v>1</v>
      </c>
      <c r="J6">
        <f>AVERAGE(F3:F26)</f>
        <v>8421.1666666666661</v>
      </c>
      <c r="K6">
        <f>AVERAGE(G3:G26)</f>
        <v>9722.3333333333339</v>
      </c>
    </row>
    <row r="7" spans="1:11" x14ac:dyDescent="0.35">
      <c r="A7" s="2">
        <v>22</v>
      </c>
      <c r="B7" t="s">
        <v>2</v>
      </c>
      <c r="C7">
        <f>MEDIAN(A3:A17)</f>
        <v>28</v>
      </c>
      <c r="F7" s="2">
        <v>5132</v>
      </c>
      <c r="G7" s="2">
        <v>4768</v>
      </c>
      <c r="I7" t="s">
        <v>2</v>
      </c>
      <c r="J7">
        <f>MEDIAN(F3:F26)</f>
        <v>8197</v>
      </c>
      <c r="K7">
        <f>MEDIAN(G3:G26)</f>
        <v>9214.5</v>
      </c>
    </row>
    <row r="8" spans="1:11" x14ac:dyDescent="0.35">
      <c r="A8" s="2">
        <v>25</v>
      </c>
      <c r="B8" t="s">
        <v>3</v>
      </c>
      <c r="C8">
        <f>_xlfn.MODE.SNGL(A3:A17)</f>
        <v>25</v>
      </c>
      <c r="F8" s="2">
        <v>8395</v>
      </c>
      <c r="G8" s="2">
        <v>9135</v>
      </c>
      <c r="I8" t="s">
        <v>3</v>
      </c>
      <c r="J8" t="e">
        <f>_xlfn.MODE.SNGL(F3:F26)</f>
        <v>#N/A</v>
      </c>
      <c r="K8" t="e">
        <f>_xlfn.MODE.SNGL(G3:G26)</f>
        <v>#N/A</v>
      </c>
    </row>
    <row r="9" spans="1:11" x14ac:dyDescent="0.35">
      <c r="A9" s="2">
        <v>25</v>
      </c>
      <c r="B9" t="s">
        <v>4</v>
      </c>
      <c r="C9">
        <f>MIN(A3:A17)</f>
        <v>12</v>
      </c>
      <c r="F9" s="2">
        <v>5463</v>
      </c>
      <c r="G9" s="2">
        <v>6113</v>
      </c>
      <c r="I9" t="s">
        <v>4</v>
      </c>
      <c r="J9">
        <f>MIN(F3:F26)</f>
        <v>5044</v>
      </c>
      <c r="K9">
        <f>MIN(G3:G26)</f>
        <v>4768</v>
      </c>
    </row>
    <row r="10" spans="1:11" x14ac:dyDescent="0.35">
      <c r="A10" s="2">
        <v>28</v>
      </c>
      <c r="B10" t="s">
        <v>5</v>
      </c>
      <c r="C10">
        <f>MAX(A3:A17)</f>
        <v>45</v>
      </c>
      <c r="F10" s="2">
        <v>8174</v>
      </c>
      <c r="G10" s="2">
        <v>9656</v>
      </c>
      <c r="I10" t="s">
        <v>5</v>
      </c>
      <c r="J10">
        <f>MAX(F3:F26)</f>
        <v>14925</v>
      </c>
      <c r="K10">
        <f>MAX(G3:G26)</f>
        <v>21923</v>
      </c>
    </row>
    <row r="11" spans="1:11" x14ac:dyDescent="0.35">
      <c r="A11" s="2">
        <v>30</v>
      </c>
      <c r="B11" t="s">
        <v>6</v>
      </c>
      <c r="C11">
        <f>MAX(A3:A17)-MIN(A3:A17)</f>
        <v>33</v>
      </c>
      <c r="F11" s="2">
        <v>5044</v>
      </c>
      <c r="G11" s="2">
        <v>5784</v>
      </c>
      <c r="I11" t="s">
        <v>6</v>
      </c>
      <c r="J11">
        <f>MAX(F3:F26)-MIN(F3:F26)</f>
        <v>9881</v>
      </c>
      <c r="K11">
        <f>MAX(G3:G26)-MIN(G3:G26)</f>
        <v>17155</v>
      </c>
    </row>
    <row r="12" spans="1:11" x14ac:dyDescent="0.35">
      <c r="A12" s="2">
        <v>32</v>
      </c>
      <c r="B12" t="s">
        <v>7</v>
      </c>
      <c r="C12">
        <f>(MIN(A3:A17)+MAX(A3:A17))/2</f>
        <v>28.5</v>
      </c>
      <c r="F12" s="2">
        <v>8739</v>
      </c>
      <c r="G12" s="2">
        <v>9229</v>
      </c>
      <c r="I12" t="s">
        <v>7</v>
      </c>
      <c r="J12">
        <f>(MIN(F3:F26)+MAX(F3:F26))/2</f>
        <v>9984.5</v>
      </c>
      <c r="K12">
        <f>(MAX(G3:G26)+MIN(G3:G26))/2</f>
        <v>13345.5</v>
      </c>
    </row>
    <row r="13" spans="1:11" x14ac:dyDescent="0.35">
      <c r="A13" s="2">
        <v>35</v>
      </c>
      <c r="B13" t="s">
        <v>9</v>
      </c>
      <c r="C13">
        <f>_xlfn.VAR.P(A3:A17)</f>
        <v>86.266666666666666</v>
      </c>
      <c r="F13" s="2">
        <v>5282</v>
      </c>
      <c r="G13" s="2">
        <v>21923</v>
      </c>
      <c r="I13" t="s">
        <v>9</v>
      </c>
      <c r="J13">
        <f>_xlfn.VAR.P(F3:F26)</f>
        <v>8983329.555555556</v>
      </c>
      <c r="K13">
        <f>_xlfn.VAR.P(G3:G26)</f>
        <v>15174589.222222222</v>
      </c>
    </row>
    <row r="14" spans="1:11" x14ac:dyDescent="0.35">
      <c r="A14" s="2">
        <v>35</v>
      </c>
      <c r="B14" t="s">
        <v>8</v>
      </c>
      <c r="C14">
        <f>_xlfn.STDEV.P(A3:A17)</f>
        <v>9.2879850703296611</v>
      </c>
      <c r="F14" s="2">
        <v>7869</v>
      </c>
      <c r="G14" s="2">
        <v>8286</v>
      </c>
      <c r="I14" t="s">
        <v>8</v>
      </c>
      <c r="J14">
        <f>_xlfn.STDEV.P(F3:F26)</f>
        <v>2997.2203048083661</v>
      </c>
      <c r="K14">
        <f>_xlfn.STDEV.P(G3:G26)</f>
        <v>3895.4575112844218</v>
      </c>
    </row>
    <row r="15" spans="1:11" x14ac:dyDescent="0.35">
      <c r="A15" s="2">
        <v>38</v>
      </c>
      <c r="B15" s="1"/>
      <c r="F15" s="2">
        <v>6199</v>
      </c>
      <c r="G15" s="2">
        <v>10687</v>
      </c>
    </row>
    <row r="16" spans="1:11" x14ac:dyDescent="0.35">
      <c r="A16" s="2">
        <v>40</v>
      </c>
      <c r="B16" s="1"/>
      <c r="F16" s="2">
        <v>5307</v>
      </c>
      <c r="G16" s="2">
        <v>5319</v>
      </c>
    </row>
    <row r="17" spans="1:7" x14ac:dyDescent="0.35">
      <c r="A17" s="2">
        <v>45</v>
      </c>
      <c r="B17" s="1"/>
      <c r="F17" s="2">
        <v>10493</v>
      </c>
      <c r="G17" s="2">
        <v>9126</v>
      </c>
    </row>
    <row r="18" spans="1:7" x14ac:dyDescent="0.35">
      <c r="B18" s="1"/>
      <c r="F18" s="2">
        <v>10309</v>
      </c>
      <c r="G18" s="2">
        <v>11221</v>
      </c>
    </row>
    <row r="19" spans="1:7" x14ac:dyDescent="0.35">
      <c r="B19" s="1"/>
      <c r="F19" s="2">
        <v>14925</v>
      </c>
      <c r="G19" s="2">
        <v>15174</v>
      </c>
    </row>
    <row r="20" spans="1:7" x14ac:dyDescent="0.35">
      <c r="B20" s="1"/>
      <c r="F20" s="2">
        <v>8397</v>
      </c>
      <c r="G20" s="2">
        <v>9901</v>
      </c>
    </row>
    <row r="21" spans="1:7" x14ac:dyDescent="0.35">
      <c r="B21" s="1"/>
      <c r="F21" s="2">
        <v>9964</v>
      </c>
      <c r="G21" s="2">
        <v>10823</v>
      </c>
    </row>
    <row r="22" spans="1:7" x14ac:dyDescent="0.35">
      <c r="B22" s="1"/>
      <c r="F22" s="2">
        <v>14849</v>
      </c>
      <c r="G22" s="2">
        <v>15864</v>
      </c>
    </row>
    <row r="23" spans="1:7" x14ac:dyDescent="0.35">
      <c r="B23" s="1"/>
      <c r="F23" s="2">
        <v>5094</v>
      </c>
      <c r="G23" s="2">
        <v>5445</v>
      </c>
    </row>
    <row r="24" spans="1:7" x14ac:dyDescent="0.35">
      <c r="B24" s="1"/>
      <c r="F24" s="2">
        <v>14340</v>
      </c>
      <c r="G24" s="2">
        <v>14292</v>
      </c>
    </row>
    <row r="25" spans="1:7" x14ac:dyDescent="0.35">
      <c r="B25" s="1"/>
      <c r="F25" s="2">
        <v>5707</v>
      </c>
      <c r="G25" s="2">
        <v>5748</v>
      </c>
    </row>
    <row r="26" spans="1:7" x14ac:dyDescent="0.35">
      <c r="B26" s="1"/>
      <c r="F26" s="2">
        <v>6672</v>
      </c>
      <c r="G26" s="2">
        <v>6961</v>
      </c>
    </row>
  </sheetData>
  <pageMargins left="0.7" right="0.7" top="0.75" bottom="0.75" header="0.3" footer="0.3"/>
  <ignoredErrors>
    <ignoredError sqref="K8" evalErro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vedanti shinde</dc:creator>
  <cp:lastModifiedBy>vedanti shinde</cp:lastModifiedBy>
  <dcterms:created xsi:type="dcterms:W3CDTF">2026-01-16T10:34:10Z</dcterms:created>
  <dcterms:modified xsi:type="dcterms:W3CDTF">2026-01-21T16:31:54Z</dcterms:modified>
</cp:coreProperties>
</file>