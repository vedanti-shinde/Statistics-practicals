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c7390e441e597/Documents/"/>
    </mc:Choice>
  </mc:AlternateContent>
  <xr:revisionPtr revIDLastSave="0" documentId="8_{3E226D5D-D903-4971-9709-52BB42FC1DF0}" xr6:coauthVersionLast="47" xr6:coauthVersionMax="47" xr10:uidLastSave="{00000000-0000-0000-0000-000000000000}"/>
  <bookViews>
    <workbookView xWindow="-110" yWindow="-110" windowWidth="19420" windowHeight="10300" xr2:uid="{9CCE25C8-E836-43E3-9E1B-C1AE480EA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K10" i="1"/>
  <c r="J10" i="1"/>
  <c r="I5" i="1"/>
  <c r="D10" i="1"/>
  <c r="F10" i="1"/>
  <c r="E5" i="1"/>
  <c r="C10" i="1"/>
  <c r="B10" i="1"/>
  <c r="E6" i="1"/>
  <c r="E10" i="1"/>
  <c r="G10" i="1"/>
  <c r="F11" i="1"/>
  <c r="E14" i="1"/>
  <c r="G14" i="1" s="1"/>
  <c r="E13" i="1"/>
  <c r="G13" i="1" s="1"/>
  <c r="E12" i="1"/>
  <c r="G12" i="1" s="1"/>
  <c r="E11" i="1"/>
  <c r="G11" i="1" s="1"/>
  <c r="D14" i="1"/>
  <c r="F14" i="1" s="1"/>
  <c r="D13" i="1"/>
  <c r="D12" i="1"/>
  <c r="D11" i="1"/>
  <c r="H11" i="1" s="1"/>
  <c r="H10" i="1"/>
  <c r="H14" i="1" l="1"/>
  <c r="H13" i="1"/>
  <c r="F13" i="1"/>
  <c r="H12" i="1"/>
  <c r="F12" i="1"/>
</calcChain>
</file>

<file path=xl/sharedStrings.xml><?xml version="1.0" encoding="utf-8"?>
<sst xmlns="http://schemas.openxmlformats.org/spreadsheetml/2006/main" count="20" uniqueCount="19">
  <si>
    <t>X</t>
  </si>
  <si>
    <t>Y</t>
  </si>
  <si>
    <t>Q3) Compute Covariance and Correlation in Excel using hypothetical data and inbuilt formula and hence interpret the results</t>
  </si>
  <si>
    <t>Measures</t>
  </si>
  <si>
    <t>Covariance</t>
  </si>
  <si>
    <t>Correlation</t>
  </si>
  <si>
    <t>results</t>
  </si>
  <si>
    <t>Measures without using inbuilt function</t>
  </si>
  <si>
    <t>X_mean</t>
  </si>
  <si>
    <t>Y_mean</t>
  </si>
  <si>
    <t>dev of X</t>
  </si>
  <si>
    <t>dev of Y</t>
  </si>
  <si>
    <t>Product of dev of X &amp;Y</t>
  </si>
  <si>
    <t>Covarance</t>
  </si>
  <si>
    <t>(dev Y)^2</t>
  </si>
  <si>
    <t>(dev X)^2</t>
  </si>
  <si>
    <t>STD.DEV  X</t>
  </si>
  <si>
    <t>STD.DEV Y</t>
  </si>
  <si>
    <t>Q4) Compute Covariance and Correlation in Excel without using inbuilt formula and thus match with previous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</si>
</sst>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14DF-94D1-469C-A696-42E437C77185}">
  <dimension ref="A1:K14"/>
  <sheetViews>
    <sheetView tabSelected="1" workbookViewId="0">
      <selection activeCell="N5" sqref="N5"/>
    </sheetView>
  </sheetViews>
  <sheetFormatPr defaultRowHeight="14.5" x14ac:dyDescent="0.35"/>
  <sheetData>
    <row r="1" spans="1:11" x14ac:dyDescent="0.35">
      <c r="A1" t="s">
        <v>2</v>
      </c>
    </row>
    <row r="2" spans="1:11" x14ac:dyDescent="0.35">
      <c r="A2" s="1" t="s">
        <v>0</v>
      </c>
      <c r="B2" s="1" t="s">
        <v>1</v>
      </c>
    </row>
    <row r="3" spans="1:11" x14ac:dyDescent="0.35">
      <c r="A3" s="2">
        <v>10</v>
      </c>
      <c r="B3" s="2">
        <v>15</v>
      </c>
      <c r="H3" t="s">
        <v>18</v>
      </c>
    </row>
    <row r="4" spans="1:11" x14ac:dyDescent="0.35">
      <c r="A4" s="2">
        <v>20</v>
      </c>
      <c r="B4" s="2">
        <v>18</v>
      </c>
      <c r="D4" t="s">
        <v>3</v>
      </c>
      <c r="E4" t="s">
        <v>6</v>
      </c>
      <c r="H4" t="s">
        <v>7</v>
      </c>
    </row>
    <row r="5" spans="1:11" x14ac:dyDescent="0.35">
      <c r="A5" s="2">
        <v>30</v>
      </c>
      <c r="B5" s="2">
        <v>25</v>
      </c>
      <c r="D5" t="s">
        <v>4</v>
      </c>
      <c r="E5">
        <f>_xlfn.COVARIANCE.S(A3:A7, B3:B7)</f>
        <v>130</v>
      </c>
      <c r="H5" t="s">
        <v>13</v>
      </c>
      <c r="I5">
        <f>SUM(H10:H14)/(5-1)</f>
        <v>130</v>
      </c>
    </row>
    <row r="6" spans="1:11" x14ac:dyDescent="0.35">
      <c r="A6" s="2">
        <v>40</v>
      </c>
      <c r="B6" s="2">
        <v>30</v>
      </c>
      <c r="D6" t="s">
        <v>5</v>
      </c>
      <c r="E6">
        <f>CORREL(A3:A7,B3:B7)</f>
        <v>0.99486235133139533</v>
      </c>
      <c r="H6" t="s">
        <v>5</v>
      </c>
      <c r="I6">
        <f>I5/(J10*K10)</f>
        <v>0.99486235133139522</v>
      </c>
    </row>
    <row r="7" spans="1:11" x14ac:dyDescent="0.35">
      <c r="A7" s="2">
        <v>50</v>
      </c>
      <c r="B7" s="2">
        <v>35</v>
      </c>
    </row>
    <row r="9" spans="1:11" x14ac:dyDescent="0.35">
      <c r="B9" t="s">
        <v>8</v>
      </c>
      <c r="C9" t="s">
        <v>9</v>
      </c>
      <c r="D9" t="s">
        <v>10</v>
      </c>
      <c r="E9" t="s">
        <v>11</v>
      </c>
      <c r="F9" t="s">
        <v>15</v>
      </c>
      <c r="G9" t="s">
        <v>14</v>
      </c>
      <c r="H9" t="s">
        <v>12</v>
      </c>
      <c r="J9" t="s">
        <v>16</v>
      </c>
      <c r="K9" t="s">
        <v>17</v>
      </c>
    </row>
    <row r="10" spans="1:11" x14ac:dyDescent="0.35">
      <c r="B10">
        <f>SUM(A3:A7)/5</f>
        <v>30</v>
      </c>
      <c r="C10">
        <f>SUM(B3:B7)/5</f>
        <v>24.6</v>
      </c>
      <c r="D10">
        <f>A3-B10</f>
        <v>-20</v>
      </c>
      <c r="E10">
        <f>B3-C10</f>
        <v>-9.6000000000000014</v>
      </c>
      <c r="F10">
        <f>D10*D10</f>
        <v>400</v>
      </c>
      <c r="G10">
        <f>E10*E10</f>
        <v>92.160000000000025</v>
      </c>
      <c r="H10">
        <f>D10*E10</f>
        <v>192.00000000000003</v>
      </c>
      <c r="J10">
        <f>SQRT(SUM(F10:F14)/4)</f>
        <v>15.811388300841896</v>
      </c>
      <c r="K10">
        <f>SQRT(SUM(G10:G14)/(5-1))</f>
        <v>8.2643814045577546</v>
      </c>
    </row>
    <row r="11" spans="1:11" x14ac:dyDescent="0.35">
      <c r="D11">
        <f>A4-B10</f>
        <v>-10</v>
      </c>
      <c r="E11">
        <f>B4-C10</f>
        <v>-6.6000000000000014</v>
      </c>
      <c r="F11">
        <f>D11*D11</f>
        <v>100</v>
      </c>
      <c r="G11">
        <f>E11*E11</f>
        <v>43.560000000000016</v>
      </c>
      <c r="H11">
        <f>D11*E11</f>
        <v>66.000000000000014</v>
      </c>
    </row>
    <row r="12" spans="1:11" x14ac:dyDescent="0.35">
      <c r="D12">
        <f>A5-B10</f>
        <v>0</v>
      </c>
      <c r="E12">
        <f>B5-C10</f>
        <v>0.39999999999999858</v>
      </c>
      <c r="F12">
        <f>D12*D12</f>
        <v>0</v>
      </c>
      <c r="G12">
        <f>E12*E12</f>
        <v>0.15999999999999887</v>
      </c>
      <c r="H12">
        <f>D12*E12</f>
        <v>0</v>
      </c>
    </row>
    <row r="13" spans="1:11" x14ac:dyDescent="0.35">
      <c r="D13">
        <f>A6-B10</f>
        <v>10</v>
      </c>
      <c r="E13">
        <f>B6-C10</f>
        <v>5.3999999999999986</v>
      </c>
      <c r="F13">
        <f>D13*D13</f>
        <v>100</v>
      </c>
      <c r="G13">
        <f>E13*E13</f>
        <v>29.159999999999986</v>
      </c>
      <c r="H13">
        <f>D13*E13</f>
        <v>53.999999999999986</v>
      </c>
    </row>
    <row r="14" spans="1:11" x14ac:dyDescent="0.35">
      <c r="D14">
        <f>A7-B10</f>
        <v>20</v>
      </c>
      <c r="E14">
        <f>B7-C10</f>
        <v>10.399999999999999</v>
      </c>
      <c r="F14">
        <f>D14*D14</f>
        <v>400</v>
      </c>
      <c r="G14">
        <f>E14*E14</f>
        <v>108.15999999999997</v>
      </c>
      <c r="H14">
        <f>D14*E14</f>
        <v>207.99999999999997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shinde</dc:creator>
  <cp:lastModifiedBy>vedanti shinde</cp:lastModifiedBy>
  <dcterms:created xsi:type="dcterms:W3CDTF">2026-01-21T17:48:57Z</dcterms:created>
  <dcterms:modified xsi:type="dcterms:W3CDTF">2026-01-21T18:57:00Z</dcterms:modified>
</cp:coreProperties>
</file>